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0bb1e51f7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87a183bb92d349cd"/>
    <x:sheet xmlns:r="http://schemas.openxmlformats.org/officeDocument/2006/relationships" name="Sprint 2" sheetId="2" r:id="R30041258e0bf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7"/>
      <x:color rgb="FF111111"/>
      <x:name val="Arial"/>
    </x:font>
    <x:font>
      <x:b/>
      <x:sz val="16"/>
      <x:color rgb="FF1111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111111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CFE2F3"/>
      </x:patternFill>
    </x:fill>
    <x:fill>
      <x:patternFill patternType="solid">
        <x:fgColor rgb="FF000000"/>
      </x:patternFill>
    </x:fill>
    <x:fill>
      <x:patternFill patternType="solid">
        <x:fgColor rgb="FFD9E2F3"/>
      </x:patternFill>
    </x:fill>
    <x:fill>
      <x:patternFill patternType="solid">
        <x:fgColor rgb="FF34495E"/>
      </x:patternFill>
    </x:fill>
  </x:fills>
  <x:borders count="5">
    <x:border/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center" vertical="center"/>
    </x:xf>
    <x:xf numFmtId="20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/>
    </x:xf>
    <x:xf numFmtId="200" fontId="5" fillId="5" borderId="3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horizontal="center" vertical="center"/>
    </x:xf>
    <x:xf numFmtId="200" fontId="4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horizontal="center" vertical="center"/>
    </x:xf>
    <x:xf numFmtId="200" fontId="6" fillId="6" borderId="2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horizontal="center" vertical="center"/>
    </x:xf>
    <x:xf numFmtId="200" fontId="6" fillId="6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967d97d144312" /><Relationship Type="http://schemas.openxmlformats.org/officeDocument/2006/relationships/theme" Target="/xl/theme/theme1.xml" Id="Re7153c06d81d464e" /><Relationship Type="http://schemas.openxmlformats.org/officeDocument/2006/relationships/sharedStrings" Target="/xl/sharedStrings.xml" Id="R6ecb826168cc4e9f" /><Relationship Type="http://schemas.openxmlformats.org/officeDocument/2006/relationships/worksheet" Target="/xl/worksheets/sheet1.xml" Id="R87a183bb92d349cd" /><Relationship Type="http://schemas.openxmlformats.org/officeDocument/2006/relationships/worksheet" Target="/xl/worksheets/sheet2.xml" Id="R30041258e0bf48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8" hidden="0" customWidth="1"/>
  </x:cols>
  <x:sheetData>
    <x:row r="1" ht="28" customHeight="1">
      <x:c r="A1" s="4" t="str">
        <x:v>ITSC-3155 Software Engineering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8" t="str">
        <x:v>Sprint 1 Backlog - Sample Window: Nov 17-23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38" customHeight="1">
      <x:c r="A3" s="14" t="str">
        <x:v>Story Tasks / Endpoint / Commit</x:v>
      </x:c>
      <x:c r="B3" s="14" t="str">
        <x:v>Story Point</x:v>
      </x:c>
      <x:c r="C3" s="14" t="str">
        <x:v>Assigned to</x:v>
      </x:c>
      <x:c r="D3" s="14" t="str">
        <x:v>Estimated Effort</x:v>
      </x:c>
      <x:c r="E3" s="14" t="str">
        <x:v>Day 1</x:v>
      </x:c>
      <x:c r="F3" s="14" t="str">
        <x:v>Day 2</x:v>
      </x:c>
      <x:c r="G3" s="14" t="str">
        <x:v>Day 3</x:v>
      </x:c>
      <x:c r="H3" s="14" t="str">
        <x:v>Day 4</x:v>
      </x:c>
      <x:c r="I3" s="14" t="str">
        <x:v>Day 5</x:v>
      </x:c>
      <x:c r="J3" s="14" t="str">
        <x:v>Day 6</x:v>
      </x:c>
      <x:c r="K3" s="14" t="str">
        <x:v>Status</x:v>
      </x:c>
      <x:c r="L3" s="14" t="str">
        <x:v>Sprint Review</x:v>
      </x:c>
    </x:row>
    <x:row r="4">
      <x:c r="A4" s="27" t="str">
        <x:v>US-01 Menu Management</x:v>
      </x:c>
      <x:c r="B4" s="28" t="n">
        <x:v>8</x:v>
      </x:c>
      <x:c r="C4" s="28" t="str">
        <x:v>Geonwoo Lee</x:v>
      </x:c>
      <x:c r="D4" s="29" t="n">
        <x:f>SUM(D5:D8)</x:f>
        <x:v>14</x:v>
      </x:c>
      <x:c r="E4" s="29" t="n">
        <x:f>SUM(E5:E8)</x:f>
        <x:v>3</x:v>
      </x:c>
      <x:c r="F4" s="29" t="n">
        <x:f>SUM(F5:F8)</x:f>
        <x:v>4</x:v>
      </x:c>
      <x:c r="G4" s="29" t="n">
        <x:f>SUM(G5:G8)</x:f>
        <x:v>4</x:v>
      </x:c>
      <x:c r="H4" s="29" t="n">
        <x:f>SUM(H5:H8)</x:f>
        <x:v>2</x:v>
      </x:c>
      <x:c r="I4" s="29" t="n">
        <x:f>SUM(I5:I8)</x:f>
        <x:v>1</x:v>
      </x:c>
      <x:c r="J4" s="29" t="n">
        <x:f>SUM(J5:J8)</x:f>
        <x:v>0</x:v>
      </x:c>
      <x:c r="K4" s="28" t="str">
        <x:v>Done</x:v>
      </x:c>
      <x:c r="L4" s="28" t="str">
        <x:v>Accepted</x:v>
      </x:c>
    </x:row>
    <x:row r="5" ht="45" customHeight="1">
      <x:c r="A5" s="18" t="str">
        <x:v>Define validation for POST/PUT /sandwiches/ | feat: validate sandwich data</x:v>
      </x:c>
      <x:c r="B5" s="19"/>
      <x:c r="C5" s="19" t="str">
        <x:v>Geonwoo Lee</x:v>
      </x:c>
      <x:c r="D5" s="20" t="n">
        <x:f>SUM(E5:J5)</x:f>
        <x:v>3</x:v>
      </x:c>
      <x:c r="E5" s="20" t="n">
        <x:v>2</x:v>
      </x:c>
      <x:c r="F5" s="20" t="n">
        <x:v>1</x:v>
      </x:c>
      <x:c r="G5" s="20" t="n">
        <x:v>0</x:v>
      </x:c>
      <x:c r="H5" s="20" t="n">
        <x:v>0</x:v>
      </x:c>
      <x:c r="I5" s="20" t="n">
        <x:v>0</x:v>
      </x:c>
      <x:c r="J5" s="20" t="n">
        <x:v>0</x:v>
      </x:c>
      <x:c r="K5" s="19" t="str">
        <x:v>Done</x:v>
      </x:c>
      <x:c r="L5" s="19" t="str">
        <x:v>Validation accepted</x:v>
      </x:c>
    </x:row>
    <x:row r="6" ht="45" customHeight="1">
      <x:c r="A6" s="18" t="str">
        <x:v>Implement POST /sandwiches/ and GET /sandwiches/ | feat: add sandwich create and read</x:v>
      </x:c>
      <x:c r="B6" s="19"/>
      <x:c r="C6" s="19" t="str">
        <x:v>Geonwoo Lee</x:v>
      </x:c>
      <x:c r="D6" s="20" t="n">
        <x:f>SUM(E6:J6)</x:f>
        <x:v>4</x:v>
      </x:c>
      <x:c r="E6" s="20" t="n">
        <x:v>1</x:v>
      </x:c>
      <x:c r="F6" s="20" t="n">
        <x:v>2</x:v>
      </x:c>
      <x:c r="G6" s="20" t="n">
        <x:v>1</x:v>
      </x:c>
      <x:c r="H6" s="20" t="n">
        <x:v>0</x:v>
      </x:c>
      <x:c r="I6" s="20" t="n">
        <x:v>0</x:v>
      </x:c>
      <x:c r="J6" s="20" t="n">
        <x:v>0</x:v>
      </x:c>
      <x:c r="K6" s="19" t="str">
        <x:v>Done</x:v>
      </x:c>
      <x:c r="L6" s="19" t="str">
        <x:v>Create/read passed</x:v>
      </x:c>
    </x:row>
    <x:row r="7" ht="45" customHeight="1">
      <x:c r="A7" s="18" t="str">
        <x:v>Implement PUT/DELETE /sandwiches/{id} | feat: complete sandwich CRUD</x:v>
      </x:c>
      <x:c r="B7" s="19"/>
      <x:c r="C7" s="19" t="str">
        <x:v>Geonwoo Lee</x:v>
      </x:c>
      <x:c r="D7" s="20" t="n">
        <x:f>SUM(E7:J7)</x:f>
        <x:v>4</x:v>
      </x:c>
      <x:c r="E7" s="20" t="n">
        <x:v>0</x:v>
      </x:c>
      <x:c r="F7" s="20" t="n">
        <x:v>1</x:v>
      </x:c>
      <x:c r="G7" s="20" t="n">
        <x:v>2</x:v>
      </x:c>
      <x:c r="H7" s="20" t="n">
        <x:v>1</x:v>
      </x:c>
      <x:c r="I7" s="20" t="n">
        <x:v>0</x:v>
      </x:c>
      <x:c r="J7" s="20" t="n">
        <x:v>0</x:v>
      </x:c>
      <x:c r="K7" s="19" t="str">
        <x:v>Done</x:v>
      </x:c>
      <x:c r="L7" s="19" t="str">
        <x:v>Update/delete passed</x:v>
      </x:c>
    </x:row>
    <x:row r="8" ht="45" customHeight="1">
      <x:c r="A8" s="18" t="str">
        <x:v>Test sandwich CRUD endpoints | test: add sandwich lifecycle test</x:v>
      </x:c>
      <x:c r="B8" s="19"/>
      <x:c r="C8" s="19" t="str">
        <x:v>Geonwoo Lee</x:v>
      </x:c>
      <x:c r="D8" s="20" t="n">
        <x:f>SUM(E8:J8)</x:f>
        <x:v>3</x:v>
      </x:c>
      <x:c r="E8" s="20" t="n">
        <x:v>0</x:v>
      </x:c>
      <x:c r="F8" s="20" t="n">
        <x:v>0</x:v>
      </x:c>
      <x:c r="G8" s="20" t="n">
        <x:v>1</x:v>
      </x:c>
      <x:c r="H8" s="20" t="n">
        <x:v>1</x:v>
      </x:c>
      <x:c r="I8" s="20" t="n">
        <x:v>1</x:v>
      </x:c>
      <x:c r="J8" s="20" t="n">
        <x:v>0</x:v>
      </x:c>
      <x:c r="K8" s="19" t="str">
        <x:v>Done</x:v>
      </x:c>
      <x:c r="L8" s="19" t="str">
        <x:v>Test passed</x:v>
      </x:c>
    </x:row>
    <x:row r="9">
      <x:c r="A9" s="27" t="str">
        <x:v>US-02 Resource Inventory</x:v>
      </x:c>
      <x:c r="B9" s="28" t="n">
        <x:v>8</x:v>
      </x:c>
      <x:c r="C9" s="28" t="str">
        <x:v>Geonwoo Lee</x:v>
      </x:c>
      <x:c r="D9" s="29" t="n">
        <x:f>SUM(D10:D13)</x:f>
        <x:v>13</x:v>
      </x:c>
      <x:c r="E9" s="29" t="n">
        <x:f>SUM(E10:E13)</x:f>
        <x:v>2</x:v>
      </x:c>
      <x:c r="F9" s="29" t="n">
        <x:f>SUM(F10:F13)</x:f>
        <x:v>4</x:v>
      </x:c>
      <x:c r="G9" s="29" t="n">
        <x:f>SUM(G10:G13)</x:f>
        <x:v>4</x:v>
      </x:c>
      <x:c r="H9" s="29" t="n">
        <x:f>SUM(H10:H13)</x:f>
        <x:v>2</x:v>
      </x:c>
      <x:c r="I9" s="29" t="n">
        <x:f>SUM(I10:I13)</x:f>
        <x:v>1</x:v>
      </x:c>
      <x:c r="J9" s="29" t="n">
        <x:f>SUM(J10:J13)</x:f>
        <x:v>0</x:v>
      </x:c>
      <x:c r="K9" s="28" t="str">
        <x:v>Done</x:v>
      </x:c>
      <x:c r="L9" s="28" t="str">
        <x:v>Accepted</x:v>
      </x:c>
    </x:row>
    <x:row r="10" ht="45" customHeight="1">
      <x:c r="A10" s="18" t="str">
        <x:v>Define validation for POST/PUT /resources/ | feat: validate resource data</x:v>
      </x:c>
      <x:c r="B10" s="19"/>
      <x:c r="C10" s="19" t="str">
        <x:v>Geonwoo Lee</x:v>
      </x:c>
      <x:c r="D10" s="20" t="n">
        <x:f>SUM(E10:J10)</x:f>
        <x:v>2</x:v>
      </x:c>
      <x:c r="E10" s="20" t="n">
        <x:v>1</x:v>
      </x:c>
      <x:c r="F10" s="20" t="n">
        <x:v>1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19" t="str">
        <x:v>Done</x:v>
      </x:c>
      <x:c r="L10" s="19" t="str">
        <x:v>Validation accepted</x:v>
      </x:c>
    </x:row>
    <x:row r="11" ht="45" customHeight="1">
      <x:c r="A11" s="18" t="str">
        <x:v>Implement POST/GET /resources/ | feat: add resource create and read</x:v>
      </x:c>
      <x:c r="B11" s="19"/>
      <x:c r="C11" s="19" t="str">
        <x:v>Geonwoo Lee</x:v>
      </x:c>
      <x:c r="D11" s="20" t="n">
        <x:f>SUM(E11:J11)</x:f>
        <x:v>4</x:v>
      </x:c>
      <x:c r="E11" s="20" t="n">
        <x:v>1</x:v>
      </x:c>
      <x:c r="F11" s="20" t="n">
        <x:v>2</x:v>
      </x:c>
      <x:c r="G11" s="20" t="n">
        <x:v>1</x:v>
      </x:c>
      <x:c r="H11" s="20" t="n">
        <x:v>0</x:v>
      </x:c>
      <x:c r="I11" s="20" t="n">
        <x:v>0</x:v>
      </x:c>
      <x:c r="J11" s="20" t="n">
        <x:v>0</x:v>
      </x:c>
      <x:c r="K11" s="19" t="str">
        <x:v>Done</x:v>
      </x:c>
      <x:c r="L11" s="19" t="str">
        <x:v>Create/read passed</x:v>
      </x:c>
    </x:row>
    <x:row r="12" ht="45" customHeight="1">
      <x:c r="A12" s="18" t="str">
        <x:v>Implement PUT/DELETE /resources/{id} | feat: complete resource CRUD</x:v>
      </x:c>
      <x:c r="B12" s="19"/>
      <x:c r="C12" s="19" t="str">
        <x:v>Geonwoo Lee</x:v>
      </x:c>
      <x:c r="D12" s="20" t="n">
        <x:f>SUM(E12:J12)</x:f>
        <x:v>4</x:v>
      </x:c>
      <x:c r="E12" s="20" t="n">
        <x:v>0</x:v>
      </x:c>
      <x:c r="F12" s="20" t="n">
        <x:v>1</x:v>
      </x:c>
      <x:c r="G12" s="20" t="n">
        <x:v>2</x:v>
      </x:c>
      <x:c r="H12" s="20" t="n">
        <x:v>1</x:v>
      </x:c>
      <x:c r="I12" s="20" t="n">
        <x:v>0</x:v>
      </x:c>
      <x:c r="J12" s="20" t="n">
        <x:v>0</x:v>
      </x:c>
      <x:c r="K12" s="19" t="str">
        <x:v>Done</x:v>
      </x:c>
      <x:c r="L12" s="19" t="str">
        <x:v>Update/delete passed</x:v>
      </x:c>
    </x:row>
    <x:row r="13" ht="45" customHeight="1">
      <x:c r="A13" s="18" t="str">
        <x:v>Test resource inventory endpoints | test: verify resource persistence</x:v>
      </x:c>
      <x:c r="B13" s="19"/>
      <x:c r="C13" s="19" t="str">
        <x:v>Geonwoo Lee</x:v>
      </x:c>
      <x:c r="D13" s="20" t="n">
        <x:f>SUM(E13:J13)</x:f>
        <x:v>3</x:v>
      </x:c>
      <x:c r="E13" s="20" t="n">
        <x:v>0</x:v>
      </x:c>
      <x:c r="F13" s="20" t="n">
        <x:v>0</x:v>
      </x:c>
      <x:c r="G13" s="20" t="n">
        <x:v>1</x:v>
      </x:c>
      <x:c r="H13" s="20" t="n">
        <x:v>1</x:v>
      </x:c>
      <x:c r="I13" s="20" t="n">
        <x:v>1</x:v>
      </x:c>
      <x:c r="J13" s="20" t="n">
        <x:v>0</x:v>
      </x:c>
      <x:c r="K13" s="19" t="str">
        <x:v>Done</x:v>
      </x:c>
      <x:c r="L13" s="19" t="str">
        <x:v>Test passed</x:v>
      </x:c>
    </x:row>
    <x:row r="14">
      <x:c r="A14" s="27" t="str">
        <x:v>US-03 Recipe Configuration</x:v>
      </x:c>
      <x:c r="B14" s="28" t="n">
        <x:v>5</x:v>
      </x:c>
      <x:c r="C14" s="28" t="str">
        <x:v>Geonwoo Lee</x:v>
      </x:c>
      <x:c r="D14" s="29" t="n">
        <x:f>SUM(D15:D18)</x:f>
        <x:v>13</x:v>
      </x:c>
      <x:c r="E14" s="29" t="n">
        <x:f>SUM(E15:E18)</x:f>
        <x:v>0</x:v>
      </x:c>
      <x:c r="F14" s="29" t="n">
        <x:f>SUM(F15:F18)</x:f>
        <x:v>2</x:v>
      </x:c>
      <x:c r="G14" s="29" t="n">
        <x:f>SUM(G15:G18)</x:f>
        <x:v>4</x:v>
      </x:c>
      <x:c r="H14" s="29" t="n">
        <x:f>SUM(H15:H18)</x:f>
        <x:v>4</x:v>
      </x:c>
      <x:c r="I14" s="29" t="n">
        <x:f>SUM(I15:I18)</x:f>
        <x:v>2</x:v>
      </x:c>
      <x:c r="J14" s="29" t="n">
        <x:f>SUM(J15:J18)</x:f>
        <x:v>1</x:v>
      </x:c>
      <x:c r="K14" s="28" t="str">
        <x:v>Done</x:v>
      </x:c>
      <x:c r="L14" s="28" t="str">
        <x:v>Accepted</x:v>
      </x:c>
    </x:row>
    <x:row r="15" ht="45" customHeight="1">
      <x:c r="A15" s="18" t="str">
        <x:v>Define recipe relationships for POST/PUT /recipes/ | feat: map recipe relationships</x:v>
      </x:c>
      <x:c r="B15" s="19"/>
      <x:c r="C15" s="19" t="str">
        <x:v>Geonwoo Lee</x:v>
      </x:c>
      <x:c r="D15" s="20" t="n">
        <x:f>SUM(E15:J15)</x:f>
        <x:v>2</x:v>
      </x:c>
      <x:c r="E15" s="20" t="n">
        <x:v>0</x:v>
      </x:c>
      <x:c r="F15" s="20" t="n">
        <x:v>1</x:v>
      </x:c>
      <x:c r="G15" s="20" t="n">
        <x:v>1</x:v>
      </x:c>
      <x:c r="H15" s="20" t="n">
        <x:v>0</x:v>
      </x:c>
      <x:c r="I15" s="20" t="n">
        <x:v>0</x:v>
      </x:c>
      <x:c r="J15" s="20" t="n">
        <x:v>0</x:v>
      </x:c>
      <x:c r="K15" s="19" t="str">
        <x:v>Done</x:v>
      </x:c>
      <x:c r="L15" s="19" t="str">
        <x:v>Relationships accepted</x:v>
      </x:c>
    </x:row>
    <x:row r="16" ht="45" customHeight="1">
      <x:c r="A16" s="18" t="str">
        <x:v>Implement POST/GET /recipes/ | feat: add recipe create and read</x:v>
      </x:c>
      <x:c r="B16" s="19"/>
      <x:c r="C16" s="19" t="str">
        <x:v>Geonwoo Lee</x:v>
      </x:c>
      <x:c r="D16" s="20" t="n">
        <x:f>SUM(E16:J16)</x:f>
        <x:v>4</x:v>
      </x:c>
      <x:c r="E16" s="20" t="n">
        <x:v>0</x:v>
      </x:c>
      <x:c r="F16" s="20" t="n">
        <x:v>1</x:v>
      </x:c>
      <x:c r="G16" s="20" t="n">
        <x:v>2</x:v>
      </x:c>
      <x:c r="H16" s="20" t="n">
        <x:v>1</x:v>
      </x:c>
      <x:c r="I16" s="20" t="n">
        <x:v>0</x:v>
      </x:c>
      <x:c r="J16" s="20" t="n">
        <x:v>0</x:v>
      </x:c>
      <x:c r="K16" s="19" t="str">
        <x:v>Done</x:v>
      </x:c>
      <x:c r="L16" s="19" t="str">
        <x:v>Create/read passed</x:v>
      </x:c>
    </x:row>
    <x:row r="17" ht="45" customHeight="1">
      <x:c r="A17" s="18" t="str">
        <x:v>Implement PUT/DELETE /recipes/{id} | feat: complete recipe CRUD</x:v>
      </x:c>
      <x:c r="B17" s="19"/>
      <x:c r="C17" s="19" t="str">
        <x:v>Geonwoo Lee</x:v>
      </x:c>
      <x:c r="D17" s="20" t="n">
        <x:f>SUM(E17:J17)</x:f>
        <x:v>4</x:v>
      </x:c>
      <x:c r="E17" s="20" t="n">
        <x:v>0</x:v>
      </x:c>
      <x:c r="F17" s="20" t="n">
        <x:v>0</x:v>
      </x:c>
      <x:c r="G17" s="20" t="n">
        <x:v>1</x:v>
      </x:c>
      <x:c r="H17" s="20" t="n">
        <x:v>2</x:v>
      </x:c>
      <x:c r="I17" s="20" t="n">
        <x:v>1</x:v>
      </x:c>
      <x:c r="J17" s="20" t="n">
        <x:v>0</x:v>
      </x:c>
      <x:c r="K17" s="19" t="str">
        <x:v>Done</x:v>
      </x:c>
      <x:c r="L17" s="19" t="str">
        <x:v>Update/delete passed</x:v>
      </x:c>
    </x:row>
    <x:row r="18" ht="45" customHeight="1">
      <x:c r="A18" s="18" t="str">
        <x:v>Validate recipe foreign IDs | test: cover recipe relationship errors</x:v>
      </x:c>
      <x:c r="B18" s="19"/>
      <x:c r="C18" s="19" t="str">
        <x:v>Geonwoo Lee</x:v>
      </x:c>
      <x:c r="D18" s="20" t="n">
        <x:f>SUM(E18:J18)</x:f>
        <x:v>3</x:v>
      </x:c>
      <x:c r="E18" s="20" t="n">
        <x:v>0</x:v>
      </x:c>
      <x:c r="F18" s="20" t="n">
        <x:v>0</x:v>
      </x:c>
      <x:c r="G18" s="20" t="n">
        <x:v>0</x:v>
      </x:c>
      <x:c r="H18" s="20" t="n">
        <x:v>1</x:v>
      </x:c>
      <x:c r="I18" s="20" t="n">
        <x:v>1</x:v>
      </x:c>
      <x:c r="J18" s="20" t="n">
        <x:v>1</x:v>
      </x:c>
      <x:c r="K18" s="19" t="str">
        <x:v>Done</x:v>
      </x:c>
      <x:c r="L18" s="19" t="str">
        <x:v>Validation passed</x:v>
      </x:c>
    </x:row>
    <x:row r="19">
      <x:c r="A19" s="36" t="str">
        <x:v>SPRINT 1 TOTAL</x:v>
      </x:c>
      <x:c r="B19" s="37" t="n">
        <x:f>SUM(B4,B9,B14)</x:f>
        <x:v>21</x:v>
      </x:c>
      <x:c r="C19" s="37"/>
      <x:c r="D19" s="38" t="n">
        <x:f>SUM(D4,D9,D14)</x:f>
        <x:v>40</x:v>
      </x:c>
      <x:c r="E19" s="38" t="n">
        <x:f>SUM(E4,E9,E14)</x:f>
        <x:v>5</x:v>
      </x:c>
      <x:c r="F19" s="38" t="n">
        <x:f>SUM(F4,F9,F14)</x:f>
        <x:v>10</x:v>
      </x:c>
      <x:c r="G19" s="38" t="n">
        <x:f>SUM(G4,G9,G14)</x:f>
        <x:v>12</x:v>
      </x:c>
      <x:c r="H19" s="38" t="n">
        <x:f>SUM(H4,H9,H14)</x:f>
        <x:v>8</x:v>
      </x:c>
      <x:c r="I19" s="38" t="n">
        <x:f>SUM(I4,I9,I14)</x:f>
        <x:v>4</x:v>
      </x:c>
      <x:c r="J19" s="38" t="n">
        <x:f>SUM(J4,J9,J14)</x:f>
        <x:v>1</x:v>
      </x:c>
      <x:c r="K19" s="37" t="str">
        <x:v>Done</x:v>
      </x:c>
      <x:c r="L19" s="37" t="str">
        <x:v>Sprint goal met</x:v>
      </x:c>
    </x:row>
  </x:sheetData>
  <x:mergeCells>
    <x:mergeCell ref="A1:L1"/>
    <x:mergeCell ref="A2:L2"/>
  </x:mergeCells>
  <x:dataValidations count="1">
    <x:dataValidation type="list" sqref="K4:K19">
      <x:formula1>"To Do,In Progress,Done"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8" hidden="0" customWidth="1"/>
  </x:cols>
  <x:sheetData>
    <x:row r="1" ht="28" customHeight="1">
      <x:c r="A1" s="4" t="str">
        <x:v>ITSC-3155 Software Engineering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8" t="str">
        <x:v>Sprint 2 Backlog - Sample Window: Nov 24-30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38" customHeight="1">
      <x:c r="A3" s="14" t="str">
        <x:v>Story Tasks / Endpoint / Commit</x:v>
      </x:c>
      <x:c r="B3" s="14" t="str">
        <x:v>Story Point</x:v>
      </x:c>
      <x:c r="C3" s="14" t="str">
        <x:v>Assigned to</x:v>
      </x:c>
      <x:c r="D3" s="14" t="str">
        <x:v>Estimated Effort</x:v>
      </x:c>
      <x:c r="E3" s="14" t="str">
        <x:v>Day 1</x:v>
      </x:c>
      <x:c r="F3" s="14" t="str">
        <x:v>Day 2</x:v>
      </x:c>
      <x:c r="G3" s="14" t="str">
        <x:v>Day 3</x:v>
      </x:c>
      <x:c r="H3" s="14" t="str">
        <x:v>Day 4</x:v>
      </x:c>
      <x:c r="I3" s="14" t="str">
        <x:v>Day 5</x:v>
      </x:c>
      <x:c r="J3" s="14" t="str">
        <x:v>Day 6</x:v>
      </x:c>
      <x:c r="K3" s="14" t="str">
        <x:v>Status</x:v>
      </x:c>
      <x:c r="L3" s="14" t="str">
        <x:v>Sprint Review</x:v>
      </x:c>
    </x:row>
    <x:row r="4">
      <x:c r="A4" s="27" t="str">
        <x:v>US-04 Order Management</x:v>
      </x:c>
      <x:c r="B4" s="28" t="n">
        <x:v>13</x:v>
      </x:c>
      <x:c r="C4" s="28" t="str">
        <x:v>Geonwoo Lee</x:v>
      </x:c>
      <x:c r="D4" s="29" t="n">
        <x:f>SUM(D5:D8)</x:f>
        <x:v>20</x:v>
      </x:c>
      <x:c r="E4" s="29" t="n">
        <x:f>SUM(E5:E8)</x:f>
        <x:v>3</x:v>
      </x:c>
      <x:c r="F4" s="29" t="n">
        <x:f>SUM(F5:F8)</x:f>
        <x:v>5</x:v>
      </x:c>
      <x:c r="G4" s="29" t="n">
        <x:f>SUM(G5:G8)</x:f>
        <x:v>6</x:v>
      </x:c>
      <x:c r="H4" s="29" t="n">
        <x:f>SUM(H5:H8)</x:f>
        <x:v>4</x:v>
      </x:c>
      <x:c r="I4" s="29" t="n">
        <x:f>SUM(I5:I8)</x:f>
        <x:v>1</x:v>
      </x:c>
      <x:c r="J4" s="29" t="n">
        <x:f>SUM(J5:J8)</x:f>
        <x:v>1</x:v>
      </x:c>
      <x:c r="K4" s="28" t="str">
        <x:v>Done</x:v>
      </x:c>
      <x:c r="L4" s="28" t="str">
        <x:v>Accepted</x:v>
      </x:c>
    </x:row>
    <x:row r="5" ht="45" customHeight="1">
      <x:c r="A5" s="18" t="str">
        <x:v>Implement POST/GET /orders/ | feat: add order create and read</x:v>
      </x:c>
      <x:c r="B5" s="19"/>
      <x:c r="C5" s="19" t="str">
        <x:v>Geonwoo Lee</x:v>
      </x:c>
      <x:c r="D5" s="20" t="n">
        <x:f>SUM(E5:J5)</x:f>
        <x:v>5</x:v>
      </x:c>
      <x:c r="E5" s="20" t="n">
        <x:v>2</x:v>
      </x:c>
      <x:c r="F5" s="20" t="n">
        <x:v>2</x:v>
      </x:c>
      <x:c r="G5" s="20" t="n">
        <x:v>1</x:v>
      </x:c>
      <x:c r="H5" s="20" t="n">
        <x:v>0</x:v>
      </x:c>
      <x:c r="I5" s="20" t="n">
        <x:v>0</x:v>
      </x:c>
      <x:c r="J5" s="20" t="n">
        <x:v>0</x:v>
      </x:c>
      <x:c r="K5" s="19" t="str">
        <x:v>Done</x:v>
      </x:c>
      <x:c r="L5" s="19" t="str">
        <x:v>Order create/read passed</x:v>
      </x:c>
    </x:row>
    <x:row r="6" ht="45" customHeight="1">
      <x:c r="A6" s="18" t="str">
        <x:v>Implement PUT/DELETE /orders/{id} | feat: complete order CRUD</x:v>
      </x:c>
      <x:c r="B6" s="19"/>
      <x:c r="C6" s="19" t="str">
        <x:v>Geonwoo Lee</x:v>
      </x:c>
      <x:c r="D6" s="20" t="n">
        <x:f>SUM(E6:J6)</x:f>
        <x:v>5</x:v>
      </x:c>
      <x:c r="E6" s="20" t="n">
        <x:v>1</x:v>
      </x:c>
      <x:c r="F6" s="20" t="n">
        <x:v>2</x:v>
      </x:c>
      <x:c r="G6" s="20" t="n">
        <x:v>2</x:v>
      </x:c>
      <x:c r="H6" s="20" t="n">
        <x:v>0</x:v>
      </x:c>
      <x:c r="I6" s="20" t="n">
        <x:v>0</x:v>
      </x:c>
      <x:c r="J6" s="20" t="n">
        <x:v>0</x:v>
      </x:c>
      <x:c r="K6" s="19" t="str">
        <x:v>Done</x:v>
      </x:c>
      <x:c r="L6" s="19" t="str">
        <x:v>Order CRUD passed</x:v>
      </x:c>
    </x:row>
    <x:row r="7" ht="45" customHeight="1">
      <x:c r="A7" s="18" t="str">
        <x:v>Implement POST/GET /order_details/ | feat: add order item create and read</x:v>
      </x:c>
      <x:c r="B7" s="19"/>
      <x:c r="C7" s="19" t="str">
        <x:v>Geonwoo Lee</x:v>
      </x:c>
      <x:c r="D7" s="20" t="n">
        <x:f>SUM(E7:J7)</x:f>
        <x:v>5</x:v>
      </x:c>
      <x:c r="E7" s="20" t="n">
        <x:v>0</x:v>
      </x:c>
      <x:c r="F7" s="20" t="n">
        <x:v>1</x:v>
      </x:c>
      <x:c r="G7" s="20" t="n">
        <x:v>2</x:v>
      </x:c>
      <x:c r="H7" s="20" t="n">
        <x:v>2</x:v>
      </x:c>
      <x:c r="I7" s="20" t="n">
        <x:v>0</x:v>
      </x:c>
      <x:c r="J7" s="20" t="n">
        <x:v>0</x:v>
      </x:c>
      <x:c r="K7" s="19" t="str">
        <x:v>Done</x:v>
      </x:c>
      <x:c r="L7" s="19" t="str">
        <x:v>Item create/read passed</x:v>
      </x:c>
    </x:row>
    <x:row r="8" ht="45" customHeight="1">
      <x:c r="A8" s="18" t="str">
        <x:v>Implement PUT/DELETE /order_details/{id} and tests | test: verify order relationships</x:v>
      </x:c>
      <x:c r="B8" s="19"/>
      <x:c r="C8" s="19" t="str">
        <x:v>Geonwoo Lee</x:v>
      </x:c>
      <x:c r="D8" s="20" t="n">
        <x:f>SUM(E8:J8)</x:f>
        <x:v>5</x:v>
      </x:c>
      <x:c r="E8" s="20" t="n">
        <x:v>0</x:v>
      </x:c>
      <x:c r="F8" s="20" t="n">
        <x:v>0</x:v>
      </x:c>
      <x:c r="G8" s="20" t="n">
        <x:v>1</x:v>
      </x:c>
      <x:c r="H8" s="20" t="n">
        <x:v>2</x:v>
      </x:c>
      <x:c r="I8" s="20" t="n">
        <x:v>1</x:v>
      </x:c>
      <x:c r="J8" s="20" t="n">
        <x:v>1</x:v>
      </x:c>
      <x:c r="K8" s="19" t="str">
        <x:v>Done</x:v>
      </x:c>
      <x:c r="L8" s="19" t="str">
        <x:v>Relationship test passed</x:v>
      </x:c>
    </x:row>
    <x:row r="9">
      <x:c r="A9" s="27" t="str">
        <x:v>US-05 Checkout and API Quality</x:v>
      </x:c>
      <x:c r="B9" s="28" t="n">
        <x:v>13</x:v>
      </x:c>
      <x:c r="C9" s="28" t="str">
        <x:v>Geonwoo Lee</x:v>
      </x:c>
      <x:c r="D9" s="29" t="n">
        <x:f>SUM(D10:D13)</x:f>
        <x:v>22</x:v>
      </x:c>
      <x:c r="E9" s="29" t="n">
        <x:f>SUM(E10:E13)</x:f>
        <x:v>1</x:v>
      </x:c>
      <x:c r="F9" s="29" t="n">
        <x:f>SUM(F10:F13)</x:f>
        <x:v>3</x:v>
      </x:c>
      <x:c r="G9" s="29" t="n">
        <x:f>SUM(G10:G13)</x:f>
        <x:v>5</x:v>
      </x:c>
      <x:c r="H9" s="29" t="n">
        <x:f>SUM(H10:H13)</x:f>
        <x:v>6</x:v>
      </x:c>
      <x:c r="I9" s="29" t="n">
        <x:f>SUM(I10:I13)</x:f>
        <x:v>5</x:v>
      </x:c>
      <x:c r="J9" s="29" t="n">
        <x:f>SUM(J10:J13)</x:f>
        <x:v>2</x:v>
      </x:c>
      <x:c r="K9" s="28" t="str">
        <x:v>Done</x:v>
      </x:c>
      <x:c r="L9" s="28" t="str">
        <x:v>Accepted</x:v>
      </x:c>
    </x:row>
    <x:row r="10" ht="45" customHeight="1">
      <x:c r="A10" s="18" t="str">
        <x:v>Implement GET /orders/{id}/summary | feat: calculate order totals</x:v>
      </x:c>
      <x:c r="B10" s="19"/>
      <x:c r="C10" s="19" t="str">
        <x:v>Geonwoo Lee</x:v>
      </x:c>
      <x:c r="D10" s="20" t="n">
        <x:f>SUM(E10:J10)</x:f>
        <x:v>4</x:v>
      </x:c>
      <x:c r="E10" s="20" t="n">
        <x:v>1</x:v>
      </x:c>
      <x:c r="F10" s="20" t="n">
        <x:v>1</x:v>
      </x:c>
      <x:c r="G10" s="20" t="n">
        <x:v>1</x:v>
      </x:c>
      <x:c r="H10" s="20" t="n">
        <x:v>1</x:v>
      </x:c>
      <x:c r="I10" s="20" t="n">
        <x:v>0</x:v>
      </x:c>
      <x:c r="J10" s="20" t="n">
        <x:v>0</x:v>
      </x:c>
      <x:c r="K10" s="19" t="str">
        <x:v>Done</x:v>
      </x:c>
      <x:c r="L10" s="19" t="str">
        <x:v>Summary accepted</x:v>
      </x:c>
    </x:row>
    <x:row r="11" ht="45" customHeight="1">
      <x:c r="A11" s="18" t="str">
        <x:v>Implement POST /orders/{id}/checkout | feat: add inventory-aware checkout</x:v>
      </x:c>
      <x:c r="B11" s="19"/>
      <x:c r="C11" s="19" t="str">
        <x:v>Geonwoo Lee</x:v>
      </x:c>
      <x:c r="D11" s="20" t="n">
        <x:f>SUM(E11:J11)</x:f>
        <x:v>8</x:v>
      </x:c>
      <x:c r="E11" s="20" t="n">
        <x:v>0</x:v>
      </x:c>
      <x:c r="F11" s="20" t="n">
        <x:v>2</x:v>
      </x:c>
      <x:c r="G11" s="20" t="n">
        <x:v>3</x:v>
      </x:c>
      <x:c r="H11" s="20" t="n">
        <x:v>2</x:v>
      </x:c>
      <x:c r="I11" s="20" t="n">
        <x:v>1</x:v>
      </x:c>
      <x:c r="J11" s="20" t="n">
        <x:v>0</x:v>
      </x:c>
      <x:c r="K11" s="19" t="str">
        <x:v>Done</x:v>
      </x:c>
      <x:c r="L11" s="19" t="str">
        <x:v>Checkout accepted</x:v>
      </x:c>
    </x:row>
    <x:row r="12" ht="45" customHeight="1">
      <x:c r="A12" s="18" t="str">
        <x:v>Test 409 errors, resource deduction, and repeat checkout | test: cover checkout workflow</x:v>
      </x:c>
      <x:c r="B12" s="19"/>
      <x:c r="C12" s="19" t="str">
        <x:v>Geonwoo Lee</x:v>
      </x:c>
      <x:c r="D12" s="20" t="n">
        <x:f>SUM(E12:J12)</x:f>
        <x:v>6</x:v>
      </x:c>
      <x:c r="E12" s="20" t="n">
        <x:v>0</x:v>
      </x:c>
      <x:c r="F12" s="20" t="n">
        <x:v>0</x:v>
      </x:c>
      <x:c r="G12" s="20" t="n">
        <x:v>1</x:v>
      </x:c>
      <x:c r="H12" s="20" t="n">
        <x:v>2</x:v>
      </x:c>
      <x:c r="I12" s="20" t="n">
        <x:v>2</x:v>
      </x:c>
      <x:c r="J12" s="20" t="n">
        <x:v>1</x:v>
      </x:c>
      <x:c r="K12" s="19" t="str">
        <x:v>Done</x:v>
      </x:c>
      <x:c r="L12" s="19" t="str">
        <x:v>Three tests passed</x:v>
      </x:c>
    </x:row>
    <x:row r="13" ht="45" customHeight="1">
      <x:c r="A13" s="18" t="str">
        <x:v>Add GET /, GET /health, Swagger metadata, and README | docs: finalize sample API</x:v>
      </x:c>
      <x:c r="B13" s="19"/>
      <x:c r="C13" s="19" t="str">
        <x:v>Geonwoo Lee</x:v>
      </x:c>
      <x:c r="D13" s="20" t="n">
        <x:f>SUM(E13:J13)</x:f>
        <x:v>4</x:v>
      </x:c>
      <x:c r="E13" s="20" t="n">
        <x:v>0</x:v>
      </x:c>
      <x:c r="F13" s="20" t="n">
        <x:v>0</x:v>
      </x:c>
      <x:c r="G13" s="20" t="n">
        <x:v>0</x:v>
      </x:c>
      <x:c r="H13" s="20" t="n">
        <x:v>1</x:v>
      </x:c>
      <x:c r="I13" s="20" t="n">
        <x:v>2</x:v>
      </x:c>
      <x:c r="J13" s="20" t="n">
        <x:v>1</x:v>
      </x:c>
      <x:c r="K13" s="19" t="str">
        <x:v>Done</x:v>
      </x:c>
      <x:c r="L13" s="19" t="str">
        <x:v>Documentation accepted</x:v>
      </x:c>
    </x:row>
    <x:row r="14">
      <x:c r="A14" s="36" t="str">
        <x:v>SPRINT 2 TOTAL</x:v>
      </x:c>
      <x:c r="B14" s="37" t="n">
        <x:f>SUM(B4,B9)</x:f>
        <x:v>26</x:v>
      </x:c>
      <x:c r="C14" s="37"/>
      <x:c r="D14" s="38" t="n">
        <x:f>SUM(D4,D9)</x:f>
        <x:v>42</x:v>
      </x:c>
      <x:c r="E14" s="38" t="n">
        <x:f>SUM(E4,E9)</x:f>
        <x:v>4</x:v>
      </x:c>
      <x:c r="F14" s="38" t="n">
        <x:f>SUM(F4,F9)</x:f>
        <x:v>8</x:v>
      </x:c>
      <x:c r="G14" s="38" t="n">
        <x:f>SUM(G4,G9)</x:f>
        <x:v>11</x:v>
      </x:c>
      <x:c r="H14" s="38" t="n">
        <x:f>SUM(H4,H9)</x:f>
        <x:v>10</x:v>
      </x:c>
      <x:c r="I14" s="38" t="n">
        <x:f>SUM(I4,I9)</x:f>
        <x:v>6</x:v>
      </x:c>
      <x:c r="J14" s="38" t="n">
        <x:f>SUM(J4,J9)</x:f>
        <x:v>3</x:v>
      </x:c>
      <x:c r="K14" s="37" t="str">
        <x:v>Done</x:v>
      </x:c>
      <x:c r="L14" s="37" t="str">
        <x:v>Sprint goal met</x:v>
      </x:c>
    </x:row>
  </x:sheetData>
  <x:mergeCells>
    <x:mergeCell ref="A1:L1"/>
    <x:mergeCell ref="A2:L2"/>
  </x:mergeCells>
  <x:dataValidations count="1">
    <x:dataValidation type="list" sqref="K4:K14">
      <x:formula1>"To Do,In Progress,Done"</x:formula1>
    </x:dataValidation>
  </x:dataValidations>
  <x:pageMargins left="0.7" right="0.7" top="0.75" bottom="0.75" header="0.3" footer="0.3"/>
</x:worksheet>
</file>